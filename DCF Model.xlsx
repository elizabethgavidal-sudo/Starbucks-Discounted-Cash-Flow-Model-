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gcedu-my.sharepoint.com/personal/egarcia33_ggc_edu/Documents/Projectsss/"/>
    </mc:Choice>
  </mc:AlternateContent>
  <xr:revisionPtr revIDLastSave="964" documentId="8_{99341AEE-14FB-4811-BA59-46DABA636992}" xr6:coauthVersionLast="47" xr6:coauthVersionMax="47" xr10:uidLastSave="{834C6C06-23D6-4F31-A9E8-C6A92860C18E}"/>
  <bookViews>
    <workbookView xWindow="-110" yWindow="-110" windowWidth="19420" windowHeight="10300" xr2:uid="{6806C6D2-2FED-40BE-9C84-DB5430FF0DAF}"/>
  </bookViews>
  <sheets>
    <sheet name="Cover" sheetId="1" r:id="rId1"/>
    <sheet name="Historical Financials " sheetId="2" r:id="rId2"/>
    <sheet name="Historical Ratios" sheetId="8" r:id="rId3"/>
    <sheet name="Assumptions " sheetId="4" r:id="rId4"/>
    <sheet name="Forecast" sheetId="5" r:id="rId5"/>
    <sheet name="DCF Valuation " sheetId="6" r:id="rId6"/>
    <sheet name="Sensitivity Analysi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7" i="8" l="1"/>
  <c r="B14" i="6"/>
  <c r="F7" i="6"/>
  <c r="E7" i="6"/>
  <c r="D7" i="6"/>
  <c r="C7" i="6"/>
  <c r="B7" i="6"/>
  <c r="G8" i="5"/>
  <c r="F8" i="5"/>
  <c r="E8" i="5"/>
  <c r="D8" i="5"/>
  <c r="C8" i="5"/>
  <c r="G6" i="5"/>
  <c r="F6" i="5"/>
  <c r="E6" i="5"/>
  <c r="D6" i="5"/>
  <c r="C6" i="5"/>
  <c r="C7" i="5" s="1"/>
  <c r="C12" i="5" s="1"/>
  <c r="D24" i="8"/>
  <c r="D22" i="8"/>
  <c r="E22" i="8"/>
  <c r="F22" i="8"/>
  <c r="G22" i="8"/>
  <c r="C22" i="8"/>
  <c r="D21" i="8"/>
  <c r="E21" i="8"/>
  <c r="F21" i="8"/>
  <c r="G21" i="8"/>
  <c r="C21" i="8"/>
  <c r="C11" i="8"/>
  <c r="C12" i="8"/>
  <c r="G17" i="8"/>
  <c r="F17" i="8"/>
  <c r="E17" i="8"/>
  <c r="D17" i="8"/>
  <c r="C17" i="8"/>
  <c r="F16" i="8"/>
  <c r="G16" i="8"/>
  <c r="E16" i="8"/>
  <c r="D16" i="8"/>
  <c r="C16" i="8"/>
  <c r="G12" i="8"/>
  <c r="F12" i="8"/>
  <c r="E12" i="8"/>
  <c r="D12" i="8"/>
  <c r="D11" i="8"/>
  <c r="E11" i="8"/>
  <c r="F11" i="8"/>
  <c r="G11" i="8"/>
  <c r="D7" i="8"/>
  <c r="G7" i="8"/>
  <c r="E7" i="8"/>
  <c r="D23" i="8" l="1"/>
  <c r="F23" i="8"/>
  <c r="E23" i="8"/>
  <c r="E24" i="8" s="1"/>
  <c r="C23" i="8"/>
  <c r="G23" i="8"/>
  <c r="C13" i="5"/>
  <c r="C9" i="5"/>
  <c r="C14" i="5"/>
  <c r="D7" i="5"/>
  <c r="C15" i="5" l="1"/>
  <c r="F24" i="8"/>
  <c r="G24" i="8"/>
  <c r="D9" i="5"/>
  <c r="E7" i="5"/>
  <c r="D14" i="5"/>
  <c r="D15" i="5" s="1"/>
  <c r="D12" i="5"/>
  <c r="D13" i="5"/>
  <c r="C10" i="5"/>
  <c r="C11" i="5" s="1"/>
  <c r="C16" i="5" l="1"/>
  <c r="B6" i="6" s="1"/>
  <c r="B8" i="6" s="1"/>
  <c r="E14" i="5"/>
  <c r="E15" i="5" s="1"/>
  <c r="E13" i="5"/>
  <c r="E9" i="5"/>
  <c r="E12" i="5"/>
  <c r="F7" i="5"/>
  <c r="D10" i="5"/>
  <c r="D11" i="5" s="1"/>
  <c r="D16" i="5" s="1"/>
  <c r="C6" i="6" s="1"/>
  <c r="C8" i="6" s="1"/>
  <c r="F9" i="5" l="1"/>
  <c r="F13" i="5"/>
  <c r="F14" i="5"/>
  <c r="F15" i="5" s="1"/>
  <c r="F12" i="5"/>
  <c r="G7" i="5"/>
  <c r="E10" i="5"/>
  <c r="E11" i="5" s="1"/>
  <c r="E16" i="5" s="1"/>
  <c r="D6" i="6" s="1"/>
  <c r="D8" i="6" s="1"/>
  <c r="G13" i="5" l="1"/>
  <c r="G12" i="5"/>
  <c r="G9" i="5"/>
  <c r="G14" i="5"/>
  <c r="G15" i="5" s="1"/>
  <c r="F10" i="5"/>
  <c r="F11" i="5" s="1"/>
  <c r="F16" i="5" s="1"/>
  <c r="E6" i="6" s="1"/>
  <c r="E8" i="6" s="1"/>
  <c r="G10" i="5" l="1"/>
  <c r="G11" i="5" s="1"/>
  <c r="G16" i="5" s="1"/>
  <c r="F6" i="6" s="1"/>
  <c r="G6" i="6" l="1"/>
  <c r="F9" i="6" s="1"/>
  <c r="F10" i="6" s="1"/>
  <c r="F8" i="6"/>
  <c r="B13" i="6" l="1"/>
  <c r="B15" i="6" s="1"/>
  <c r="B17" i="6" s="1"/>
  <c r="A5" i="7" s="1"/>
</calcChain>
</file>

<file path=xl/sharedStrings.xml><?xml version="1.0" encoding="utf-8"?>
<sst xmlns="http://schemas.openxmlformats.org/spreadsheetml/2006/main" count="121" uniqueCount="99">
  <si>
    <t>Operating Income</t>
  </si>
  <si>
    <t>Total Net Revenue</t>
  </si>
  <si>
    <t xml:space="preserve">Earnings Before Income Taxes </t>
  </si>
  <si>
    <t xml:space="preserve">Income Tax Expense </t>
  </si>
  <si>
    <t xml:space="preserve">Net Income </t>
  </si>
  <si>
    <t xml:space="preserve">Depreciation &amp; Amoritization </t>
  </si>
  <si>
    <t xml:space="preserve">Capital Expenditures(CapEx) </t>
  </si>
  <si>
    <t xml:space="preserve">Created By: Elizabeth Garcia </t>
  </si>
  <si>
    <t xml:space="preserve">Cash and Cash Equivalents </t>
  </si>
  <si>
    <t xml:space="preserve">Accounts Receivable </t>
  </si>
  <si>
    <t xml:space="preserve">Inventories </t>
  </si>
  <si>
    <t xml:space="preserve">Pre-paid Expenses and Other Current Assets </t>
  </si>
  <si>
    <t xml:space="preserve">Accounts Payable </t>
  </si>
  <si>
    <t xml:space="preserve">Accrued Liabilities </t>
  </si>
  <si>
    <t xml:space="preserve">Accrued Payable &amp; Benefits </t>
  </si>
  <si>
    <t xml:space="preserve">Long Term Debt </t>
  </si>
  <si>
    <t xml:space="preserve">Current Portion of Long-Term Debt </t>
  </si>
  <si>
    <t xml:space="preserve">Revenue Growth </t>
  </si>
  <si>
    <t xml:space="preserve">Operating Margin </t>
  </si>
  <si>
    <t>Effective Tax Rate</t>
  </si>
  <si>
    <t>D&amp;A % Revenue</t>
  </si>
  <si>
    <t>CapEx % Revenue</t>
  </si>
  <si>
    <t>Net Working Capital</t>
  </si>
  <si>
    <t>Change in Net Working Capital(NWC)</t>
  </si>
  <si>
    <t>--</t>
  </si>
  <si>
    <t>Investment Ratios</t>
  </si>
  <si>
    <t xml:space="preserve">Ratio </t>
  </si>
  <si>
    <t xml:space="preserve">Growth Ratios </t>
  </si>
  <si>
    <t>Ratio</t>
  </si>
  <si>
    <t>Profitability Ratios</t>
  </si>
  <si>
    <t xml:space="preserve">Operating Assets </t>
  </si>
  <si>
    <t xml:space="preserve">Operating Liabilities </t>
  </si>
  <si>
    <t xml:space="preserve">Assumption </t>
  </si>
  <si>
    <t xml:space="preserve">Value </t>
  </si>
  <si>
    <t>Revenue Growth 2026</t>
  </si>
  <si>
    <t>Revenue Growth 2027</t>
  </si>
  <si>
    <t>Revenue Growth 2028</t>
  </si>
  <si>
    <t>Revenue Growth 2029</t>
  </si>
  <si>
    <t>Revenue Growth 2030</t>
  </si>
  <si>
    <t>Net Working Capital % Revenue</t>
  </si>
  <si>
    <t>WACC</t>
  </si>
  <si>
    <t>Terminal Growth Rate</t>
  </si>
  <si>
    <t xml:space="preserve">Forecast </t>
  </si>
  <si>
    <t>Revenue</t>
  </si>
  <si>
    <t>Revenue Growth</t>
  </si>
  <si>
    <t>EBIT</t>
  </si>
  <si>
    <t>Operating Margin</t>
  </si>
  <si>
    <t>Taxes</t>
  </si>
  <si>
    <t>D&amp;A</t>
  </si>
  <si>
    <t>CapEx</t>
  </si>
  <si>
    <t>Change in NWC</t>
  </si>
  <si>
    <t>Free Cash Flow</t>
  </si>
  <si>
    <t>Net Operating Profit After Taxes(NOPAT)</t>
  </si>
  <si>
    <t>Discount Factor</t>
  </si>
  <si>
    <t>Present Value of FCF</t>
  </si>
  <si>
    <t>Terminal Value</t>
  </si>
  <si>
    <t>Present Value of Terminal Value</t>
  </si>
  <si>
    <t>Enterprise Value</t>
  </si>
  <si>
    <t>Equity Value</t>
  </si>
  <si>
    <t>Intrinsic Value per Share</t>
  </si>
  <si>
    <t>Net Debt</t>
  </si>
  <si>
    <t xml:space="preserve">WACC/Terminal Growth </t>
  </si>
  <si>
    <t>Working Capital ($ in millions)</t>
  </si>
  <si>
    <t>DCF Valuation ($ in millions except Intrinsic Value per Share)</t>
  </si>
  <si>
    <t xml:space="preserve">Historical Financials </t>
  </si>
  <si>
    <t>Diluted Shares Outstanding</t>
  </si>
  <si>
    <t>Cover</t>
  </si>
  <si>
    <t>($ in millions)</t>
  </si>
  <si>
    <t>Starbucks Corporation</t>
  </si>
  <si>
    <t>Metric</t>
  </si>
  <si>
    <t>Historical Ratio Analysis</t>
  </si>
  <si>
    <t>Historical Period: 2021-2025</t>
  </si>
  <si>
    <t>Forecast Period: 2026-2030</t>
  </si>
  <si>
    <t>Forecast Assumptions</t>
  </si>
  <si>
    <t>DCF Sensitivity Analysis</t>
  </si>
  <si>
    <t>Intrinsic Value Per Share</t>
  </si>
  <si>
    <t xml:space="preserve">Discounted Cash Flow Valuation </t>
  </si>
  <si>
    <t>($ in millions except Intrinsic Value per Share)</t>
  </si>
  <si>
    <t xml:space="preserve">Financial Forecast </t>
  </si>
  <si>
    <t>($ in millions except percentages)</t>
  </si>
  <si>
    <t xml:space="preserve">Valuation Summary </t>
  </si>
  <si>
    <t>Based on the assumptions used on the Starbucks Corporation 5-year DCF model, there is an estimated  Instrinsic Value per Share of $51.31.</t>
  </si>
  <si>
    <r>
      <t>Sources:</t>
    </r>
    <r>
      <rPr>
        <sz val="11"/>
        <color theme="1"/>
        <rFont val="Aptos Narrow"/>
        <family val="2"/>
        <scheme val="minor"/>
      </rPr>
      <t xml:space="preserve"> Starbucks Corporation 2025 Form 10-K. Starbucks Corporation 2022 Form 10-K.  Starbucks Corporation 2023 Form 10-K. Historical financial data obtained from the company’s consolidated financial statements.</t>
    </r>
  </si>
  <si>
    <t>Rationale</t>
  </si>
  <si>
    <t>Reflects continued growth while beginning to moderate toward a mature long-term rate.</t>
  </si>
  <si>
    <t>Assumes continued normalization as the company progresses through the forecast period.</t>
  </si>
  <si>
    <t>Reflects slower growth as the company approaches a mature long-term growth rate.</t>
  </si>
  <si>
    <t>Represents normalized growth near the end of the explicit forecast period.</t>
  </si>
  <si>
    <t>Based on historical operating margins and assumes stabilization following recent margin pressure.</t>
  </si>
  <si>
    <t>Based on the company’s historical effective tax rate range.</t>
  </si>
  <si>
    <t>Based on historical depreciation and amortization as a percentage of revenue.</t>
  </si>
  <si>
    <t>Based on historical capital expenditures relative to revenue.</t>
  </si>
  <si>
    <t>Based on historical net working capital levels relative to revenue.</t>
  </si>
  <si>
    <t>Assumed discount rate used to reflect the risk and required return of forecasted free cash flows.</t>
  </si>
  <si>
    <t xml:space="preserve">Description: This DCF Model uses 5 years of Starbucks' Historical data to evaluate the value of Starbucks Corporation today based on the cash Starbucks is expected to make in the future. </t>
  </si>
  <si>
    <t>Start Date: 6/29/2026</t>
  </si>
  <si>
    <t>End Date: 7/5/2026</t>
  </si>
  <si>
    <t>Assumes a sustainable long-term growth rate beyond the five-year forecast period for a well established company</t>
  </si>
  <si>
    <t>Assumes revenue recovery after the 2024-2025 time period followed by gradual normalization.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</si>
</sst>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0.0%"/>
    <numFmt numFmtId="166" formatCode="0.0"/>
    <numFmt numFmtId="167" formatCode="_(* #,##0.0_);_(* \(#,##0.0\);_(* &quot;-&quot;??_);_(@_)"/>
    <numFmt numFmtId="168" formatCode="#,##0.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vertical="center" wrapText="1"/>
    </xf>
    <xf numFmtId="9" fontId="0" fillId="0" borderId="0" xfId="1" applyFont="1"/>
    <xf numFmtId="0" fontId="0" fillId="0" borderId="0" xfId="0" quotePrefix="1"/>
    <xf numFmtId="10" fontId="0" fillId="0" borderId="0" xfId="0" applyNumberFormat="1"/>
    <xf numFmtId="9" fontId="0" fillId="0" borderId="0" xfId="1" applyFont="1" applyAlignment="1">
      <alignment vertical="center" wrapText="1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164" fontId="0" fillId="0" borderId="0" xfId="2" applyNumberFormat="1" applyFont="1"/>
    <xf numFmtId="165" fontId="0" fillId="0" borderId="0" xfId="0" applyNumberFormat="1"/>
    <xf numFmtId="2" fontId="0" fillId="0" borderId="0" xfId="0" applyNumberFormat="1"/>
    <xf numFmtId="165" fontId="0" fillId="0" borderId="0" xfId="1" applyNumberFormat="1" applyFont="1"/>
    <xf numFmtId="167" fontId="0" fillId="0" borderId="0" xfId="3" applyNumberFormat="1" applyFont="1" applyAlignment="1">
      <alignment vertical="center" wrapText="1"/>
    </xf>
    <xf numFmtId="167" fontId="0" fillId="0" borderId="0" xfId="3" applyNumberFormat="1" applyFont="1"/>
    <xf numFmtId="167" fontId="0" fillId="0" borderId="0" xfId="3" quotePrefix="1" applyNumberFormat="1" applyFont="1" applyAlignment="1">
      <alignment vertical="center" wrapText="1"/>
    </xf>
    <xf numFmtId="9" fontId="3" fillId="0" borderId="0" xfId="1" applyFont="1"/>
    <xf numFmtId="165" fontId="3" fillId="0" borderId="0" xfId="1" applyNumberFormat="1" applyFont="1"/>
    <xf numFmtId="165" fontId="3" fillId="0" borderId="0" xfId="0" applyNumberFormat="1" applyFont="1"/>
    <xf numFmtId="165" fontId="3" fillId="0" borderId="0" xfId="0" applyNumberFormat="1" applyFont="1" applyAlignment="1">
      <alignment vertical="center" wrapText="1"/>
    </xf>
    <xf numFmtId="167" fontId="3" fillId="0" borderId="0" xfId="3" applyNumberFormat="1" applyFont="1"/>
    <xf numFmtId="9" fontId="4" fillId="0" borderId="0" xfId="0" applyNumberFormat="1" applyFont="1" applyAlignment="1">
      <alignment vertical="center" wrapText="1"/>
    </xf>
    <xf numFmtId="165" fontId="4" fillId="0" borderId="0" xfId="0" applyNumberFormat="1" applyFont="1" applyAlignment="1">
      <alignment vertical="center" wrapText="1"/>
    </xf>
    <xf numFmtId="9" fontId="4" fillId="0" borderId="0" xfId="0" applyNumberFormat="1" applyFont="1"/>
    <xf numFmtId="167" fontId="4" fillId="0" borderId="0" xfId="3" applyNumberFormat="1" applyFont="1" applyAlignment="1">
      <alignment vertical="center" wrapText="1"/>
    </xf>
    <xf numFmtId="167" fontId="4" fillId="0" borderId="0" xfId="3" applyNumberFormat="1" applyFont="1"/>
    <xf numFmtId="168" fontId="4" fillId="0" borderId="0" xfId="0" applyNumberFormat="1" applyFont="1" applyAlignment="1">
      <alignment vertical="center" wrapText="1"/>
    </xf>
    <xf numFmtId="168" fontId="4" fillId="0" borderId="0" xfId="0" applyNumberFormat="1" applyFont="1"/>
    <xf numFmtId="166" fontId="4" fillId="0" borderId="0" xfId="0" applyNumberFormat="1" applyFont="1" applyAlignment="1">
      <alignment vertical="center" wrapText="1"/>
    </xf>
    <xf numFmtId="0" fontId="4" fillId="0" borderId="0" xfId="0" applyFont="1"/>
    <xf numFmtId="168" fontId="3" fillId="0" borderId="0" xfId="0" applyNumberFormat="1" applyFont="1" applyAlignment="1">
      <alignment vertical="center" wrapText="1"/>
    </xf>
    <xf numFmtId="9" fontId="4" fillId="0" borderId="0" xfId="1" applyFont="1"/>
    <xf numFmtId="165" fontId="4" fillId="0" borderId="0" xfId="1" applyNumberFormat="1" applyFont="1"/>
    <xf numFmtId="165" fontId="4" fillId="0" borderId="0" xfId="0" applyNumberFormat="1" applyFont="1"/>
    <xf numFmtId="9" fontId="4" fillId="0" borderId="0" xfId="1" applyFont="1" applyAlignment="1">
      <alignment vertical="center" wrapText="1"/>
    </xf>
    <xf numFmtId="167" fontId="4" fillId="0" borderId="0" xfId="3" quotePrefix="1" applyNumberFormat="1" applyFont="1"/>
    <xf numFmtId="167" fontId="5" fillId="0" borderId="0" xfId="3" applyNumberFormat="1" applyFont="1" applyAlignment="1">
      <alignment vertical="center" wrapText="1"/>
    </xf>
    <xf numFmtId="164" fontId="5" fillId="0" borderId="0" xfId="2" applyNumberFormat="1" applyFont="1"/>
    <xf numFmtId="167" fontId="1" fillId="0" borderId="0" xfId="3" applyNumberFormat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0" xfId="0"/>
    <xf numFmtId="0" fontId="9" fillId="0" borderId="0" xfId="0" applyFont="1"/>
    <xf numFmtId="0" fontId="0" fillId="0" borderId="0" xfId="0" applyAlignment="1"/>
    <xf numFmtId="0" fontId="9" fillId="2" borderId="0" xfId="0" applyFont="1" applyFill="1"/>
    <xf numFmtId="10" fontId="0" fillId="0" borderId="0" xfId="0" applyNumberFormat="1" applyAlignment="1">
      <alignment vertical="center"/>
    </xf>
    <xf numFmtId="14" fontId="0" fillId="0" borderId="0" xfId="0" applyNumberFormat="1"/>
  </cellXfs>
  <cellStyles count="4">
    <cellStyle name="Comma" xfId="3" builtinId="3"/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F469D-6F2B-4AB4-8E95-D0401C1B8BDD}">
  <dimension ref="A1:B5"/>
  <sheetViews>
    <sheetView tabSelected="1" workbookViewId="0">
      <selection activeCell="A5" sqref="A5"/>
    </sheetView>
  </sheetViews>
  <sheetFormatPr defaultRowHeight="14.5" x14ac:dyDescent="0.35"/>
  <sheetData>
    <row r="1" spans="1:2" x14ac:dyDescent="0.35">
      <c r="A1" t="s">
        <v>66</v>
      </c>
    </row>
    <row r="2" spans="1:2" x14ac:dyDescent="0.35">
      <c r="A2" t="s">
        <v>7</v>
      </c>
    </row>
    <row r="3" spans="1:2" x14ac:dyDescent="0.35">
      <c r="A3" t="s">
        <v>95</v>
      </c>
    </row>
    <row r="4" spans="1:2" x14ac:dyDescent="0.35">
      <c r="A4" t="s">
        <v>96</v>
      </c>
      <c r="B4" s="47"/>
    </row>
    <row r="5" spans="1:2" x14ac:dyDescent="0.35">
      <c r="A5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90C9E-1695-440F-AFFB-1B9557103FB8}">
  <dimension ref="A1:G25"/>
  <sheetViews>
    <sheetView workbookViewId="0">
      <pane ySplit="5" topLeftCell="A6" activePane="bottomLeft" state="frozen"/>
      <selection pane="bottomLeft" activeCell="A12" sqref="A12"/>
    </sheetView>
  </sheetViews>
  <sheetFormatPr defaultRowHeight="14.5" x14ac:dyDescent="0.35"/>
  <cols>
    <col min="1" max="1" width="17.6328125" bestFit="1" customWidth="1"/>
    <col min="2" max="2" width="19.453125" customWidth="1"/>
    <col min="3" max="7" width="10.1796875" bestFit="1" customWidth="1"/>
  </cols>
  <sheetData>
    <row r="1" spans="1:7" ht="18.5" x14ac:dyDescent="0.45">
      <c r="A1" s="39" t="s">
        <v>68</v>
      </c>
      <c r="B1" s="39"/>
    </row>
    <row r="2" spans="1:7" ht="16" x14ac:dyDescent="0.4">
      <c r="A2" s="40" t="s">
        <v>64</v>
      </c>
      <c r="B2" s="40"/>
    </row>
    <row r="3" spans="1:7" x14ac:dyDescent="0.35">
      <c r="A3" s="41" t="s">
        <v>67</v>
      </c>
      <c r="B3" s="41"/>
    </row>
    <row r="5" spans="1:7" x14ac:dyDescent="0.35">
      <c r="A5" s="42" t="s">
        <v>69</v>
      </c>
      <c r="B5" s="42"/>
      <c r="C5">
        <v>2021</v>
      </c>
      <c r="D5">
        <v>2022</v>
      </c>
      <c r="E5">
        <v>2023</v>
      </c>
      <c r="F5">
        <v>2024</v>
      </c>
      <c r="G5">
        <v>2025</v>
      </c>
    </row>
    <row r="7" spans="1:7" x14ac:dyDescent="0.35">
      <c r="A7" t="s">
        <v>1</v>
      </c>
      <c r="C7" s="20">
        <v>29060.6</v>
      </c>
      <c r="D7" s="20">
        <v>32250.3</v>
      </c>
      <c r="E7" s="20">
        <v>35975.599999999999</v>
      </c>
      <c r="F7" s="20">
        <v>36176.199999999997</v>
      </c>
      <c r="G7" s="20">
        <v>37184.400000000001</v>
      </c>
    </row>
    <row r="8" spans="1:7" x14ac:dyDescent="0.35">
      <c r="A8" t="s">
        <v>0</v>
      </c>
      <c r="C8" s="20">
        <v>4872.1000000000004</v>
      </c>
      <c r="D8" s="20">
        <v>4617.8</v>
      </c>
      <c r="E8" s="20">
        <v>5870.8</v>
      </c>
      <c r="F8" s="20">
        <v>5408.8</v>
      </c>
      <c r="G8" s="20">
        <v>2936.6</v>
      </c>
    </row>
    <row r="9" spans="1:7" x14ac:dyDescent="0.35">
      <c r="A9" t="s">
        <v>2</v>
      </c>
      <c r="C9" s="20">
        <v>5356.9</v>
      </c>
      <c r="D9" s="20">
        <v>4231.8999999999996</v>
      </c>
      <c r="E9" s="20">
        <v>5401.9</v>
      </c>
      <c r="F9" s="20">
        <v>4969.6000000000004</v>
      </c>
      <c r="G9" s="20">
        <v>2507.3000000000002</v>
      </c>
    </row>
    <row r="10" spans="1:7" x14ac:dyDescent="0.35">
      <c r="A10" t="s">
        <v>3</v>
      </c>
      <c r="C10" s="20">
        <v>1156.5999999999999</v>
      </c>
      <c r="D10" s="20">
        <v>948.5</v>
      </c>
      <c r="E10" s="20">
        <v>1277.2</v>
      </c>
      <c r="F10" s="20">
        <v>1207.3</v>
      </c>
      <c r="G10" s="20">
        <v>650.6</v>
      </c>
    </row>
    <row r="11" spans="1:7" x14ac:dyDescent="0.35">
      <c r="A11" t="s">
        <v>4</v>
      </c>
      <c r="C11" s="20">
        <v>4199.3</v>
      </c>
      <c r="D11" s="20">
        <v>3281.6</v>
      </c>
      <c r="E11" s="20">
        <v>4124.5</v>
      </c>
      <c r="F11" s="20">
        <v>3760.9</v>
      </c>
      <c r="G11" s="20">
        <v>1856.4</v>
      </c>
    </row>
    <row r="12" spans="1:7" x14ac:dyDescent="0.35">
      <c r="A12" t="s">
        <v>5</v>
      </c>
      <c r="C12" s="20">
        <v>1524.1</v>
      </c>
      <c r="D12" s="20">
        <v>1529.4</v>
      </c>
      <c r="E12" s="20">
        <v>1450.3</v>
      </c>
      <c r="F12" s="20">
        <v>1592.4</v>
      </c>
      <c r="G12" s="20">
        <v>1771.5</v>
      </c>
    </row>
    <row r="13" spans="1:7" x14ac:dyDescent="0.35">
      <c r="A13" t="s">
        <v>6</v>
      </c>
      <c r="C13" s="20">
        <v>1470</v>
      </c>
      <c r="D13" s="20">
        <v>1841.3</v>
      </c>
      <c r="E13" s="20">
        <v>2333.6</v>
      </c>
      <c r="F13" s="20">
        <v>2777.5</v>
      </c>
      <c r="G13" s="20">
        <v>2305.5</v>
      </c>
    </row>
    <row r="14" spans="1:7" x14ac:dyDescent="0.35">
      <c r="A14" t="s">
        <v>8</v>
      </c>
      <c r="C14" s="20">
        <v>6455.7</v>
      </c>
      <c r="D14" s="20">
        <v>2818.4</v>
      </c>
      <c r="E14" s="20">
        <v>3551.5</v>
      </c>
      <c r="F14" s="20">
        <v>3286.2</v>
      </c>
      <c r="G14" s="20">
        <v>3219.8</v>
      </c>
    </row>
    <row r="15" spans="1:7" x14ac:dyDescent="0.35">
      <c r="A15" t="s">
        <v>9</v>
      </c>
      <c r="C15" s="20">
        <v>940</v>
      </c>
      <c r="D15" s="20">
        <v>1175.5</v>
      </c>
      <c r="E15" s="20">
        <v>1184.0999999999999</v>
      </c>
      <c r="F15" s="20">
        <v>1213.8</v>
      </c>
      <c r="G15" s="20">
        <v>1277.5</v>
      </c>
    </row>
    <row r="16" spans="1:7" x14ac:dyDescent="0.35">
      <c r="A16" t="s">
        <v>10</v>
      </c>
      <c r="C16" s="20">
        <v>1603.9</v>
      </c>
      <c r="D16" s="20">
        <v>2176.6</v>
      </c>
      <c r="E16" s="20">
        <v>1806.4</v>
      </c>
      <c r="F16" s="20">
        <v>1777.3</v>
      </c>
      <c r="G16" s="20">
        <v>2185.6</v>
      </c>
    </row>
    <row r="17" spans="1:7" x14ac:dyDescent="0.35">
      <c r="A17" t="s">
        <v>11</v>
      </c>
      <c r="C17" s="20">
        <v>594.6</v>
      </c>
      <c r="D17" s="20">
        <v>483.7</v>
      </c>
      <c r="E17" s="20">
        <v>359.9</v>
      </c>
      <c r="F17" s="20">
        <v>313.10000000000002</v>
      </c>
      <c r="G17" s="20">
        <v>452.2</v>
      </c>
    </row>
    <row r="18" spans="1:7" x14ac:dyDescent="0.35">
      <c r="A18" t="s">
        <v>12</v>
      </c>
      <c r="C18" s="20">
        <v>1211.5999999999999</v>
      </c>
      <c r="D18" s="20">
        <v>1441.4</v>
      </c>
      <c r="E18" s="20">
        <v>1544.3</v>
      </c>
      <c r="F18" s="20">
        <v>1595.5</v>
      </c>
      <c r="G18" s="20">
        <v>1852.8</v>
      </c>
    </row>
    <row r="19" spans="1:7" x14ac:dyDescent="0.35">
      <c r="A19" t="s">
        <v>13</v>
      </c>
      <c r="C19" s="20">
        <v>1973.2</v>
      </c>
      <c r="D19" s="20">
        <v>2137.1</v>
      </c>
      <c r="E19" s="20">
        <v>2145.1</v>
      </c>
      <c r="F19" s="20">
        <v>2194.6999999999998</v>
      </c>
      <c r="G19" s="20">
        <v>2359.6999999999998</v>
      </c>
    </row>
    <row r="20" spans="1:7" x14ac:dyDescent="0.35">
      <c r="A20" t="s">
        <v>14</v>
      </c>
      <c r="C20" s="20">
        <v>772.3</v>
      </c>
      <c r="D20" s="20">
        <v>761.7</v>
      </c>
      <c r="E20" s="20">
        <v>828.3</v>
      </c>
      <c r="F20" s="20">
        <v>786.6</v>
      </c>
      <c r="G20" s="20">
        <v>1093.9000000000001</v>
      </c>
    </row>
    <row r="21" spans="1:7" x14ac:dyDescent="0.35">
      <c r="A21" t="s">
        <v>15</v>
      </c>
      <c r="C21" s="20">
        <v>13616.9</v>
      </c>
      <c r="D21" s="20">
        <v>13119.9</v>
      </c>
      <c r="E21" s="20">
        <v>13547.6</v>
      </c>
      <c r="F21" s="20">
        <v>14319.5</v>
      </c>
      <c r="G21" s="20">
        <v>14575.9</v>
      </c>
    </row>
    <row r="22" spans="1:7" x14ac:dyDescent="0.35">
      <c r="A22" t="s">
        <v>16</v>
      </c>
      <c r="C22" s="20">
        <v>998.9</v>
      </c>
      <c r="D22" s="20">
        <v>1749</v>
      </c>
      <c r="E22" s="20">
        <v>1818.6</v>
      </c>
      <c r="F22" s="20">
        <v>1248.9000000000001</v>
      </c>
      <c r="G22" s="20">
        <v>1498.9</v>
      </c>
    </row>
    <row r="25" spans="1:7" x14ac:dyDescent="0.35">
      <c r="A25" s="43" t="s">
        <v>82</v>
      </c>
    </row>
  </sheetData>
  <mergeCells count="4">
    <mergeCell ref="A1:B1"/>
    <mergeCell ref="A5:B5"/>
    <mergeCell ref="A3:B3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49320-22B5-4A83-BB4F-04E0351DCB1A}">
  <dimension ref="A1:G24"/>
  <sheetViews>
    <sheetView topLeftCell="B1" workbookViewId="0">
      <selection activeCell="C16" sqref="C16"/>
    </sheetView>
  </sheetViews>
  <sheetFormatPr defaultRowHeight="14.5" x14ac:dyDescent="0.35"/>
  <cols>
    <col min="2" max="2" width="22.36328125" customWidth="1"/>
    <col min="3" max="6" width="11.453125" bestFit="1" customWidth="1"/>
    <col min="7" max="7" width="9.81640625" bestFit="1" customWidth="1"/>
  </cols>
  <sheetData>
    <row r="1" spans="1:7" ht="18.5" x14ac:dyDescent="0.45">
      <c r="A1" s="39" t="s">
        <v>68</v>
      </c>
      <c r="B1" s="39"/>
    </row>
    <row r="2" spans="1:7" ht="16" x14ac:dyDescent="0.4">
      <c r="A2" s="40" t="s">
        <v>70</v>
      </c>
      <c r="B2" s="40"/>
    </row>
    <row r="3" spans="1:7" x14ac:dyDescent="0.35">
      <c r="A3" s="41" t="s">
        <v>71</v>
      </c>
      <c r="B3" s="41"/>
    </row>
    <row r="5" spans="1:7" ht="16" x14ac:dyDescent="0.4">
      <c r="A5" s="6" t="s">
        <v>27</v>
      </c>
      <c r="B5" s="6"/>
    </row>
    <row r="6" spans="1:7" x14ac:dyDescent="0.35">
      <c r="A6" t="s">
        <v>26</v>
      </c>
      <c r="C6">
        <v>2021</v>
      </c>
      <c r="D6">
        <v>2022</v>
      </c>
      <c r="E6">
        <v>2023</v>
      </c>
      <c r="F6">
        <v>2024</v>
      </c>
      <c r="G6">
        <v>2025</v>
      </c>
    </row>
    <row r="7" spans="1:7" x14ac:dyDescent="0.35">
      <c r="A7" t="s">
        <v>17</v>
      </c>
      <c r="C7" s="3" t="s">
        <v>24</v>
      </c>
      <c r="D7" s="31">
        <f>('Historical Financials '!D7/'Historical Financials '!C7)-1</f>
        <v>0.10976029400631782</v>
      </c>
      <c r="E7" s="32">
        <f>('Historical Financials '!E7/'Historical Financials '!D7)-1</f>
        <v>0.11551210376337573</v>
      </c>
      <c r="F7" s="33">
        <f>('Historical Financials '!F7/'Historical Financials '!E7)-1</f>
        <v>5.5760015121359974E-3</v>
      </c>
      <c r="G7" s="33">
        <f>('Historical Financials '!G7/'Historical Financials '!F7)-1</f>
        <v>2.7869151541621395E-2</v>
      </c>
    </row>
    <row r="9" spans="1:7" ht="16" x14ac:dyDescent="0.4">
      <c r="A9" s="6" t="s">
        <v>29</v>
      </c>
      <c r="B9" s="6"/>
      <c r="C9" s="4"/>
      <c r="D9" s="4"/>
      <c r="E9" s="4"/>
      <c r="F9" s="4"/>
      <c r="G9" s="4"/>
    </row>
    <row r="10" spans="1:7" x14ac:dyDescent="0.35">
      <c r="A10" t="s">
        <v>28</v>
      </c>
      <c r="C10">
        <v>2021</v>
      </c>
      <c r="D10">
        <v>2022</v>
      </c>
      <c r="E10">
        <v>2023</v>
      </c>
      <c r="F10">
        <v>2024</v>
      </c>
      <c r="G10">
        <v>2025</v>
      </c>
    </row>
    <row r="11" spans="1:7" x14ac:dyDescent="0.35">
      <c r="A11" t="s">
        <v>18</v>
      </c>
      <c r="C11" s="33">
        <f>('Historical Financials '!C8/'Historical Financials '!C7)</f>
        <v>0.16765311108511183</v>
      </c>
      <c r="D11" s="33">
        <f>('Historical Financials '!D8/'Historical Financials '!D7)</f>
        <v>0.1431862649339696</v>
      </c>
      <c r="E11" s="33">
        <f>('Historical Financials '!E8/'Historical Financials '!E7)</f>
        <v>0.16318838323752766</v>
      </c>
      <c r="F11" s="33">
        <f>('Historical Financials '!F8/'Historical Financials '!F7)</f>
        <v>0.14951266302154456</v>
      </c>
      <c r="G11" s="33">
        <f>('Historical Financials '!G8/'Historical Financials '!G7)</f>
        <v>7.8973978335000694E-2</v>
      </c>
    </row>
    <row r="12" spans="1:7" x14ac:dyDescent="0.35">
      <c r="A12" s="7" t="s">
        <v>19</v>
      </c>
      <c r="B12" s="7"/>
      <c r="C12" s="34">
        <f>('Historical Financials '!C10/'Historical Financials '!C9)</f>
        <v>0.21590845451660476</v>
      </c>
      <c r="D12" s="34">
        <f>('Historical Financials '!D10/'Historical Financials '!D9)</f>
        <v>0.22413100498594013</v>
      </c>
      <c r="E12" s="34">
        <f>('Historical Financials '!E10/'Historical Financials '!E9)</f>
        <v>0.23643532831040934</v>
      </c>
      <c r="F12" s="34">
        <f>('Historical Financials '!F10/'Historical Financials '!F9)</f>
        <v>0.24293705730843526</v>
      </c>
      <c r="G12" s="31">
        <f>('Historical Financials '!G10/'Historical Financials '!G9)</f>
        <v>0.25948231164998203</v>
      </c>
    </row>
    <row r="13" spans="1:7" x14ac:dyDescent="0.35">
      <c r="A13" s="7"/>
      <c r="B13" s="7"/>
      <c r="C13" s="5"/>
      <c r="D13" s="5"/>
      <c r="E13" s="5"/>
      <c r="F13" s="5"/>
      <c r="G13" s="2"/>
    </row>
    <row r="14" spans="1:7" ht="16" x14ac:dyDescent="0.35">
      <c r="A14" s="8" t="s">
        <v>25</v>
      </c>
      <c r="B14" s="8"/>
      <c r="C14" s="5"/>
      <c r="D14" s="5"/>
      <c r="E14" s="5"/>
      <c r="F14" s="5"/>
      <c r="G14" s="2"/>
    </row>
    <row r="15" spans="1:7" x14ac:dyDescent="0.35">
      <c r="A15" s="7" t="s">
        <v>28</v>
      </c>
      <c r="B15" s="7"/>
      <c r="C15">
        <v>2021</v>
      </c>
      <c r="D15">
        <v>2022</v>
      </c>
      <c r="E15">
        <v>2023</v>
      </c>
      <c r="F15">
        <v>2024</v>
      </c>
      <c r="G15">
        <v>2025</v>
      </c>
    </row>
    <row r="16" spans="1:7" x14ac:dyDescent="0.35">
      <c r="A16" s="7" t="s">
        <v>20</v>
      </c>
      <c r="B16" s="7"/>
      <c r="C16" s="22">
        <f>('Historical Financials '!C12/'Historical Financials '!C7)</f>
        <v>5.2445579237868453E-2</v>
      </c>
      <c r="D16" s="22">
        <f>('Historical Financials '!D12/'Historical Financials '!D7)</f>
        <v>4.7422814671491433E-2</v>
      </c>
      <c r="E16" s="22">
        <f>('Historical Financials '!E12/'Historical Financials '!E7)</f>
        <v>4.0313434661270416E-2</v>
      </c>
      <c r="F16" s="22">
        <f>('Historical Financials '!F12/'Historical Financials '!F7)</f>
        <v>4.4017890215113813E-2</v>
      </c>
      <c r="G16" s="33">
        <f>('Historical Financials '!G12/'Historical Financials '!G7)</f>
        <v>4.764094620324652E-2</v>
      </c>
    </row>
    <row r="17" spans="1:7" x14ac:dyDescent="0.35">
      <c r="A17" s="7" t="s">
        <v>21</v>
      </c>
      <c r="B17" s="7"/>
      <c r="C17" s="34">
        <f>'Historical Financials '!C13/'Historical Financials '!C7</f>
        <v>5.058395215515165E-2</v>
      </c>
      <c r="D17" s="34">
        <f>'Historical Financials '!D13/'Historical Financials '!D7</f>
        <v>5.7094042536038427E-2</v>
      </c>
      <c r="E17" s="34">
        <f>'Historical Financials '!E13/'Historical Financials '!E7</f>
        <v>6.4866187082355822E-2</v>
      </c>
      <c r="F17" s="34">
        <f>'Historical Financials '!F13/'Historical Financials '!F7</f>
        <v>7.6776997031197308E-2</v>
      </c>
      <c r="G17" s="31">
        <f>'Historical Financials '!G13/'Historical Financials '!G7</f>
        <v>6.2001807209474936E-2</v>
      </c>
    </row>
    <row r="18" spans="1:7" x14ac:dyDescent="0.35">
      <c r="A18" s="7"/>
      <c r="B18" s="7"/>
      <c r="C18" s="5"/>
      <c r="D18" s="5"/>
      <c r="E18" s="5"/>
      <c r="F18" s="5"/>
      <c r="G18" s="2"/>
    </row>
    <row r="19" spans="1:7" ht="16" x14ac:dyDescent="0.35">
      <c r="A19" s="8" t="s">
        <v>62</v>
      </c>
      <c r="B19" s="8"/>
      <c r="C19" s="5"/>
      <c r="D19" s="5"/>
      <c r="E19" s="5"/>
      <c r="F19" s="5"/>
      <c r="G19" s="2"/>
    </row>
    <row r="20" spans="1:7" x14ac:dyDescent="0.35">
      <c r="A20" s="7" t="s">
        <v>26</v>
      </c>
      <c r="B20" s="7"/>
      <c r="C20">
        <v>2021</v>
      </c>
      <c r="D20">
        <v>2022</v>
      </c>
      <c r="E20">
        <v>2023</v>
      </c>
      <c r="F20">
        <v>2024</v>
      </c>
      <c r="G20">
        <v>2025</v>
      </c>
    </row>
    <row r="21" spans="1:7" x14ac:dyDescent="0.35">
      <c r="A21" s="7" t="s">
        <v>30</v>
      </c>
      <c r="B21" s="7"/>
      <c r="C21" s="24">
        <f>('Historical Financials '!C15+'Historical Financials '!C16+'Historical Financials '!C17)</f>
        <v>3138.5</v>
      </c>
      <c r="D21" s="24">
        <f>('Historical Financials '!D15+'Historical Financials '!D16+'Historical Financials '!D17)</f>
        <v>3835.7999999999997</v>
      </c>
      <c r="E21" s="24">
        <f>('Historical Financials '!E15+'Historical Financials '!E16+'Historical Financials '!E17)</f>
        <v>3350.4</v>
      </c>
      <c r="F21" s="24">
        <f>('Historical Financials '!F15+'Historical Financials '!F16+'Historical Financials '!F17)</f>
        <v>3304.2</v>
      </c>
      <c r="G21" s="24">
        <f>('Historical Financials '!G15+'Historical Financials '!G16+'Historical Financials '!G17)</f>
        <v>3915.2999999999997</v>
      </c>
    </row>
    <row r="22" spans="1:7" x14ac:dyDescent="0.35">
      <c r="A22" s="7" t="s">
        <v>31</v>
      </c>
      <c r="B22" s="7"/>
      <c r="C22" s="24">
        <f>('Historical Financials '!C18+'Historical Financials '!C19+'Historical Financials '!C20)</f>
        <v>3957.1000000000004</v>
      </c>
      <c r="D22" s="24">
        <f>('Historical Financials '!D18+'Historical Financials '!D19+'Historical Financials '!D20)</f>
        <v>4340.2</v>
      </c>
      <c r="E22" s="24">
        <f>('Historical Financials '!E18+'Historical Financials '!E19+'Historical Financials '!E20)</f>
        <v>4517.7</v>
      </c>
      <c r="F22" s="24">
        <f>('Historical Financials '!F18+'Historical Financials '!F19+'Historical Financials '!F20)</f>
        <v>4576.8</v>
      </c>
      <c r="G22" s="24">
        <f>('Historical Financials '!G18+'Historical Financials '!G19+'Historical Financials '!G20)</f>
        <v>5306.4</v>
      </c>
    </row>
    <row r="23" spans="1:7" x14ac:dyDescent="0.35">
      <c r="A23" s="7" t="s">
        <v>22</v>
      </c>
      <c r="B23" s="7"/>
      <c r="C23" s="38">
        <f>C21-C22</f>
        <v>-818.60000000000036</v>
      </c>
      <c r="D23" s="38">
        <f>D21-D22</f>
        <v>-504.40000000000009</v>
      </c>
      <c r="E23" s="38">
        <f t="shared" ref="E23:G23" si="0">E21-E22</f>
        <v>-1167.2999999999997</v>
      </c>
      <c r="F23" s="38">
        <f t="shared" si="0"/>
        <v>-1272.6000000000004</v>
      </c>
      <c r="G23" s="38">
        <f t="shared" si="0"/>
        <v>-1391.1</v>
      </c>
    </row>
    <row r="24" spans="1:7" x14ac:dyDescent="0.35">
      <c r="A24" s="7" t="s">
        <v>23</v>
      </c>
      <c r="B24" s="7"/>
      <c r="C24" s="35" t="s">
        <v>24</v>
      </c>
      <c r="D24" s="38">
        <f>-504.4-(-818.6)</f>
        <v>314.20000000000005</v>
      </c>
      <c r="E24" s="38">
        <f>E23-D23</f>
        <v>-662.89999999999964</v>
      </c>
      <c r="F24" s="38">
        <f>F23-E23</f>
        <v>-105.30000000000064</v>
      </c>
      <c r="G24" s="38">
        <f>G23-F23</f>
        <v>-118.49999999999955</v>
      </c>
    </row>
  </sheetData>
  <mergeCells count="3">
    <mergeCell ref="A1:B1"/>
    <mergeCell ref="A2:B2"/>
    <mergeCell ref="A3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26544-A45E-4F73-B5D1-764FFCFC2575}">
  <dimension ref="A1:G17"/>
  <sheetViews>
    <sheetView zoomScale="70" workbookViewId="0">
      <selection activeCell="C7" sqref="C7"/>
    </sheetView>
  </sheetViews>
  <sheetFormatPr defaultRowHeight="14.5" x14ac:dyDescent="0.35"/>
  <cols>
    <col min="1" max="1" width="19.1796875" customWidth="1"/>
    <col min="2" max="2" width="10.7265625" customWidth="1"/>
    <col min="3" max="3" width="34.26953125" customWidth="1"/>
  </cols>
  <sheetData>
    <row r="1" spans="1:7" ht="18.5" x14ac:dyDescent="0.45">
      <c r="A1" s="39" t="s">
        <v>68</v>
      </c>
      <c r="B1" s="39"/>
    </row>
    <row r="2" spans="1:7" ht="16" x14ac:dyDescent="0.4">
      <c r="A2" s="40" t="s">
        <v>73</v>
      </c>
      <c r="B2" s="40"/>
    </row>
    <row r="3" spans="1:7" x14ac:dyDescent="0.35">
      <c r="A3" s="41" t="s">
        <v>72</v>
      </c>
      <c r="B3" s="41"/>
    </row>
    <row r="5" spans="1:7" x14ac:dyDescent="0.35">
      <c r="A5" t="s">
        <v>32</v>
      </c>
      <c r="B5" t="s">
        <v>33</v>
      </c>
      <c r="C5" t="s">
        <v>83</v>
      </c>
    </row>
    <row r="6" spans="1:7" x14ac:dyDescent="0.35">
      <c r="A6" t="s">
        <v>34</v>
      </c>
      <c r="B6" s="16">
        <v>0.05</v>
      </c>
      <c r="C6" s="7" t="s">
        <v>98</v>
      </c>
      <c r="F6" s="44"/>
      <c r="G6" s="44"/>
    </row>
    <row r="7" spans="1:7" x14ac:dyDescent="0.35">
      <c r="A7" t="s">
        <v>35</v>
      </c>
      <c r="B7" s="17">
        <v>4.4999999999999998E-2</v>
      </c>
      <c r="C7" s="7" t="s">
        <v>84</v>
      </c>
      <c r="E7" s="7"/>
      <c r="F7" s="46"/>
    </row>
    <row r="8" spans="1:7" x14ac:dyDescent="0.35">
      <c r="A8" t="s">
        <v>36</v>
      </c>
      <c r="B8" s="16">
        <v>0.04</v>
      </c>
      <c r="C8" s="7" t="s">
        <v>85</v>
      </c>
      <c r="E8" s="7"/>
      <c r="F8" s="46"/>
    </row>
    <row r="9" spans="1:7" x14ac:dyDescent="0.35">
      <c r="A9" t="s">
        <v>37</v>
      </c>
      <c r="B9" s="17">
        <v>3.5000000000000003E-2</v>
      </c>
      <c r="C9" s="7" t="s">
        <v>86</v>
      </c>
      <c r="E9" s="7"/>
      <c r="F9" s="46"/>
    </row>
    <row r="10" spans="1:7" x14ac:dyDescent="0.35">
      <c r="A10" t="s">
        <v>38</v>
      </c>
      <c r="B10" s="16">
        <v>0.03</v>
      </c>
      <c r="C10" s="7" t="s">
        <v>87</v>
      </c>
      <c r="E10" s="7"/>
      <c r="F10" s="46"/>
    </row>
    <row r="11" spans="1:7" x14ac:dyDescent="0.35">
      <c r="A11" t="s">
        <v>18</v>
      </c>
      <c r="B11" s="18">
        <v>0.14499999999999999</v>
      </c>
      <c r="C11" s="7" t="s">
        <v>88</v>
      </c>
      <c r="E11" s="7"/>
      <c r="F11" s="46"/>
    </row>
    <row r="12" spans="1:7" x14ac:dyDescent="0.35">
      <c r="A12" s="1" t="s">
        <v>19</v>
      </c>
      <c r="B12" s="19">
        <v>0.24</v>
      </c>
      <c r="C12" s="7" t="s">
        <v>89</v>
      </c>
      <c r="E12" s="7"/>
      <c r="F12" s="46"/>
    </row>
    <row r="13" spans="1:7" x14ac:dyDescent="0.35">
      <c r="A13" s="1" t="s">
        <v>20</v>
      </c>
      <c r="B13" s="19">
        <v>4.4999999999999998E-2</v>
      </c>
      <c r="C13" s="7" t="s">
        <v>90</v>
      </c>
      <c r="E13" s="7"/>
      <c r="F13" s="46"/>
    </row>
    <row r="14" spans="1:7" x14ac:dyDescent="0.35">
      <c r="A14" s="1" t="s">
        <v>21</v>
      </c>
      <c r="B14" s="19">
        <v>0.06</v>
      </c>
      <c r="C14" s="7" t="s">
        <v>91</v>
      </c>
      <c r="E14" s="7"/>
      <c r="F14" s="46"/>
    </row>
    <row r="15" spans="1:7" ht="29" x14ac:dyDescent="0.35">
      <c r="A15" s="1" t="s">
        <v>39</v>
      </c>
      <c r="B15" s="19">
        <v>-3.5000000000000003E-2</v>
      </c>
      <c r="C15" s="7" t="s">
        <v>92</v>
      </c>
      <c r="E15" s="7"/>
      <c r="F15" s="46"/>
    </row>
    <row r="16" spans="1:7" x14ac:dyDescent="0.35">
      <c r="A16" s="1" t="s">
        <v>40</v>
      </c>
      <c r="B16" s="19">
        <v>0.08</v>
      </c>
      <c r="C16" s="7" t="s">
        <v>93</v>
      </c>
      <c r="E16" s="7"/>
      <c r="F16" s="46"/>
    </row>
    <row r="17" spans="1:6" x14ac:dyDescent="0.35">
      <c r="A17" s="1" t="s">
        <v>41</v>
      </c>
      <c r="B17" s="19">
        <v>2.5000000000000001E-2</v>
      </c>
      <c r="C17" s="7" t="s">
        <v>97</v>
      </c>
      <c r="E17" s="7"/>
      <c r="F17" s="46"/>
    </row>
  </sheetData>
  <mergeCells count="3">
    <mergeCell ref="A1:B1"/>
    <mergeCell ref="A2:B2"/>
    <mergeCell ref="A3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BD87D-6542-4B40-87E6-762929F4817B}">
  <dimension ref="A1:G16"/>
  <sheetViews>
    <sheetView workbookViewId="0">
      <selection activeCell="A4" sqref="A4"/>
    </sheetView>
  </sheetViews>
  <sheetFormatPr defaultRowHeight="14.5" x14ac:dyDescent="0.35"/>
  <cols>
    <col min="1" max="1" width="17.90625" customWidth="1"/>
    <col min="2" max="2" width="16" customWidth="1"/>
    <col min="3" max="3" width="11.36328125" bestFit="1" customWidth="1"/>
    <col min="4" max="6" width="12" bestFit="1" customWidth="1"/>
    <col min="7" max="7" width="11.36328125" bestFit="1" customWidth="1"/>
  </cols>
  <sheetData>
    <row r="1" spans="1:7" ht="18.5" x14ac:dyDescent="0.45">
      <c r="A1" s="39" t="s">
        <v>68</v>
      </c>
      <c r="B1" s="39"/>
    </row>
    <row r="2" spans="1:7" ht="16" x14ac:dyDescent="0.4">
      <c r="A2" s="40" t="s">
        <v>78</v>
      </c>
      <c r="B2" s="40"/>
    </row>
    <row r="3" spans="1:7" x14ac:dyDescent="0.35">
      <c r="A3" s="41" t="s">
        <v>79</v>
      </c>
      <c r="B3" s="41"/>
    </row>
    <row r="5" spans="1:7" x14ac:dyDescent="0.35">
      <c r="A5" s="42" t="s">
        <v>42</v>
      </c>
      <c r="B5" s="42"/>
      <c r="C5">
        <v>2026</v>
      </c>
      <c r="D5">
        <v>2027</v>
      </c>
      <c r="E5">
        <v>2028</v>
      </c>
      <c r="F5">
        <v>2029</v>
      </c>
      <c r="G5">
        <v>2030</v>
      </c>
    </row>
    <row r="6" spans="1:7" x14ac:dyDescent="0.35">
      <c r="A6" s="7" t="s">
        <v>44</v>
      </c>
      <c r="B6" s="7"/>
      <c r="C6" s="21">
        <f>'Assumptions '!B6</f>
        <v>0.05</v>
      </c>
      <c r="D6" s="22">
        <f>'Assumptions '!B7</f>
        <v>4.4999999999999998E-2</v>
      </c>
      <c r="E6" s="21">
        <f>'Assumptions '!B8</f>
        <v>0.04</v>
      </c>
      <c r="F6" s="22">
        <f>'Assumptions '!B9</f>
        <v>3.5000000000000003E-2</v>
      </c>
      <c r="G6" s="23">
        <f>'Assumptions '!B10</f>
        <v>0.03</v>
      </c>
    </row>
    <row r="7" spans="1:7" x14ac:dyDescent="0.35">
      <c r="A7" t="s">
        <v>43</v>
      </c>
      <c r="C7" s="24">
        <f>'Historical Financials '!G7*(1+C6)</f>
        <v>39043.620000000003</v>
      </c>
      <c r="D7" s="13">
        <f>C7*(1+D6)</f>
        <v>40800.582900000001</v>
      </c>
      <c r="E7" s="13">
        <f>D7*(1+E6)</f>
        <v>42432.606216</v>
      </c>
      <c r="F7" s="13">
        <f>E7*(1+F6)</f>
        <v>43917.747433559998</v>
      </c>
      <c r="G7" s="13">
        <f>F7*(1+G6)</f>
        <v>45235.279856566798</v>
      </c>
    </row>
    <row r="8" spans="1:7" x14ac:dyDescent="0.35">
      <c r="A8" s="7" t="s">
        <v>46</v>
      </c>
      <c r="B8" s="7"/>
      <c r="C8" s="22">
        <f>'Assumptions '!B11</f>
        <v>0.14499999999999999</v>
      </c>
      <c r="D8" s="22">
        <f>'Assumptions '!B11</f>
        <v>0.14499999999999999</v>
      </c>
      <c r="E8" s="22">
        <f>'Assumptions '!B11</f>
        <v>0.14499999999999999</v>
      </c>
      <c r="F8" s="22">
        <f>'Assumptions '!B11</f>
        <v>0.14499999999999999</v>
      </c>
      <c r="G8" s="22">
        <f>'Assumptions '!B11</f>
        <v>0.14499999999999999</v>
      </c>
    </row>
    <row r="9" spans="1:7" x14ac:dyDescent="0.35">
      <c r="A9" t="s">
        <v>45</v>
      </c>
      <c r="C9" s="13">
        <f>C7*C8</f>
        <v>5661.3248999999996</v>
      </c>
      <c r="D9" s="13">
        <f>D7*D8</f>
        <v>5916.0845204999996</v>
      </c>
      <c r="E9" s="13">
        <f>E7*E8</f>
        <v>6152.7279013199995</v>
      </c>
      <c r="F9" s="13">
        <f>F7*F8</f>
        <v>6368.0733778661997</v>
      </c>
      <c r="G9" s="13">
        <f>G7*G8</f>
        <v>6559.1155792021855</v>
      </c>
    </row>
    <row r="10" spans="1:7" x14ac:dyDescent="0.35">
      <c r="A10" s="7" t="s">
        <v>47</v>
      </c>
      <c r="B10" s="7"/>
      <c r="C10" s="24">
        <f>C9*'Assumptions '!B12</f>
        <v>1358.7179759999999</v>
      </c>
      <c r="D10" s="24">
        <f>D9*'Assumptions '!B12</f>
        <v>1419.8602849199999</v>
      </c>
      <c r="E10" s="24">
        <f>E9*'Assumptions '!B12</f>
        <v>1476.6546963167998</v>
      </c>
      <c r="F10" s="24">
        <f>F9*'Assumptions '!B12</f>
        <v>1528.3376106878879</v>
      </c>
      <c r="G10" s="24">
        <f>G9*'Assumptions '!B12</f>
        <v>1574.1877390085244</v>
      </c>
    </row>
    <row r="11" spans="1:7" x14ac:dyDescent="0.35">
      <c r="A11" s="7" t="s">
        <v>52</v>
      </c>
      <c r="B11" s="7"/>
      <c r="C11" s="13">
        <f>C9-C10</f>
        <v>4302.6069239999997</v>
      </c>
      <c r="D11" s="13">
        <f>D9-D10</f>
        <v>4496.2242355799999</v>
      </c>
      <c r="E11" s="13">
        <f t="shared" ref="E11:G11" si="0">E9-E10</f>
        <v>4676.0732050032002</v>
      </c>
      <c r="F11" s="13">
        <f t="shared" si="0"/>
        <v>4839.735767178312</v>
      </c>
      <c r="G11" s="13">
        <f t="shared" si="0"/>
        <v>4984.9278401936608</v>
      </c>
    </row>
    <row r="12" spans="1:7" x14ac:dyDescent="0.35">
      <c r="A12" s="7" t="s">
        <v>48</v>
      </c>
      <c r="B12" s="7"/>
      <c r="C12" s="24">
        <f>C7*'Assumptions '!B13</f>
        <v>1756.9629</v>
      </c>
      <c r="D12" s="24">
        <f>D7*'Assumptions '!B13</f>
        <v>1836.0262304999999</v>
      </c>
      <c r="E12" s="24">
        <f>E7*'Assumptions '!B13</f>
        <v>1909.4672797199999</v>
      </c>
      <c r="F12" s="24">
        <f>F7*'Assumptions '!B13</f>
        <v>1976.2986345101999</v>
      </c>
      <c r="G12" s="25">
        <f>G7*'Assumptions '!B13</f>
        <v>2035.5875935455058</v>
      </c>
    </row>
    <row r="13" spans="1:7" x14ac:dyDescent="0.35">
      <c r="A13" s="7" t="s">
        <v>49</v>
      </c>
      <c r="B13" s="7"/>
      <c r="C13" s="24">
        <f>C7*'Assumptions '!B14</f>
        <v>2342.6172000000001</v>
      </c>
      <c r="D13" s="24">
        <f>D7*'Assumptions '!B14</f>
        <v>2448.0349740000001</v>
      </c>
      <c r="E13" s="24">
        <f>E7*'Assumptions '!B14</f>
        <v>2545.95637296</v>
      </c>
      <c r="F13" s="24">
        <f>F7*'Assumptions '!B14</f>
        <v>2635.0648460135999</v>
      </c>
      <c r="G13" s="25">
        <f>G7*'Assumptions '!B14</f>
        <v>2714.1167913940076</v>
      </c>
    </row>
    <row r="14" spans="1:7" x14ac:dyDescent="0.35">
      <c r="A14" s="7" t="s">
        <v>22</v>
      </c>
      <c r="B14" s="7"/>
      <c r="C14" s="24">
        <f>C7*'Assumptions '!B15</f>
        <v>-1366.5267000000001</v>
      </c>
      <c r="D14" s="24">
        <f>D7*'Assumptions '!B15</f>
        <v>-1428.0204015000002</v>
      </c>
      <c r="E14" s="24">
        <f>E7*'Assumptions '!B15</f>
        <v>-1485.1412175600001</v>
      </c>
      <c r="F14" s="24">
        <f>F7*'Assumptions '!B15</f>
        <v>-1537.1211601746002</v>
      </c>
      <c r="G14" s="25">
        <f>G7*'Assumptions '!B15</f>
        <v>-1583.2347949798382</v>
      </c>
    </row>
    <row r="15" spans="1:7" x14ac:dyDescent="0.35">
      <c r="A15" s="7" t="s">
        <v>50</v>
      </c>
      <c r="B15" s="7"/>
      <c r="C15" s="24">
        <f>C14-'Historical Ratios'!G23</f>
        <v>24.57329999999979</v>
      </c>
      <c r="D15" s="24">
        <f>Forecast!D14-Forecast!C14</f>
        <v>-61.493701500000043</v>
      </c>
      <c r="E15" s="24">
        <f>E14-D14</f>
        <v>-57.120816059999925</v>
      </c>
      <c r="F15" s="24">
        <f>F14-E14</f>
        <v>-51.979942614600077</v>
      </c>
      <c r="G15" s="25">
        <f>G14-F14</f>
        <v>-46.113634805238007</v>
      </c>
    </row>
    <row r="16" spans="1:7" x14ac:dyDescent="0.35">
      <c r="A16" s="7" t="s">
        <v>51</v>
      </c>
      <c r="B16" s="7"/>
      <c r="C16" s="14">
        <f>C11+C12-C13-C15</f>
        <v>3692.3793240000005</v>
      </c>
      <c r="D16" s="14">
        <f t="shared" ref="D16:G16" si="1">D11+D12-D13-D15</f>
        <v>3945.7091935799995</v>
      </c>
      <c r="E16" s="14">
        <f t="shared" si="1"/>
        <v>4096.7049278232007</v>
      </c>
      <c r="F16" s="14">
        <f t="shared" si="1"/>
        <v>4232.9494982895121</v>
      </c>
      <c r="G16" s="14">
        <f t="shared" si="1"/>
        <v>4352.5122771503966</v>
      </c>
    </row>
  </sheetData>
  <mergeCells count="4">
    <mergeCell ref="A5:B5"/>
    <mergeCell ref="A1:B1"/>
    <mergeCell ref="A2:B2"/>
    <mergeCell ref="A3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009DF-800B-42E5-BAF2-BDCAC87777DA}">
  <dimension ref="A1:J17"/>
  <sheetViews>
    <sheetView zoomScale="74" workbookViewId="0">
      <selection activeCell="B17" sqref="B17"/>
    </sheetView>
  </sheetViews>
  <sheetFormatPr defaultRowHeight="14.5" x14ac:dyDescent="0.35"/>
  <cols>
    <col min="1" max="1" width="51.54296875" customWidth="1"/>
    <col min="2" max="2" width="11.36328125" bestFit="1" customWidth="1"/>
    <col min="3" max="3" width="10.36328125" bestFit="1" customWidth="1"/>
    <col min="4" max="6" width="11.36328125" bestFit="1" customWidth="1"/>
    <col min="10" max="10" width="17.7265625" customWidth="1"/>
  </cols>
  <sheetData>
    <row r="1" spans="1:10" ht="18.5" x14ac:dyDescent="0.45">
      <c r="A1" s="39" t="s">
        <v>68</v>
      </c>
      <c r="B1" s="39"/>
    </row>
    <row r="2" spans="1:10" ht="16" x14ac:dyDescent="0.4">
      <c r="A2" s="40" t="s">
        <v>76</v>
      </c>
      <c r="B2" s="40"/>
    </row>
    <row r="3" spans="1:10" x14ac:dyDescent="0.35">
      <c r="A3" s="41" t="s">
        <v>77</v>
      </c>
      <c r="B3" s="41"/>
      <c r="J3" s="45" t="s">
        <v>80</v>
      </c>
    </row>
    <row r="4" spans="1:10" x14ac:dyDescent="0.35">
      <c r="J4" s="44" t="s">
        <v>81</v>
      </c>
    </row>
    <row r="5" spans="1:10" x14ac:dyDescent="0.35">
      <c r="A5" t="s">
        <v>63</v>
      </c>
      <c r="B5">
        <v>2026</v>
      </c>
      <c r="C5">
        <v>2027</v>
      </c>
      <c r="D5">
        <v>2028</v>
      </c>
      <c r="E5">
        <v>2029</v>
      </c>
      <c r="F5">
        <v>2030</v>
      </c>
      <c r="G5">
        <v>2031</v>
      </c>
    </row>
    <row r="6" spans="1:10" x14ac:dyDescent="0.35">
      <c r="A6" s="7" t="s">
        <v>51</v>
      </c>
      <c r="B6" s="26">
        <f>Forecast!C16</f>
        <v>3692.3793240000005</v>
      </c>
      <c r="C6" s="26">
        <f>Forecast!D16</f>
        <v>3945.7091935799995</v>
      </c>
      <c r="D6" s="26">
        <f>Forecast!E16</f>
        <v>4096.7049278232007</v>
      </c>
      <c r="E6" s="26">
        <f>Forecast!F16</f>
        <v>4232.9494982895121</v>
      </c>
      <c r="F6" s="26">
        <f>Forecast!G16</f>
        <v>4352.5122771503966</v>
      </c>
      <c r="G6" s="27">
        <f>F6*(1+'Assumptions '!B17)</f>
        <v>4461.3250840791561</v>
      </c>
    </row>
    <row r="7" spans="1:10" x14ac:dyDescent="0.35">
      <c r="A7" s="7" t="s">
        <v>53</v>
      </c>
      <c r="B7" s="28">
        <f>1/(1+'Assumptions '!B16)^1</f>
        <v>0.92592592592592582</v>
      </c>
      <c r="C7" s="28">
        <f>1/(1+'Assumptions '!B16)^2</f>
        <v>0.85733882030178321</v>
      </c>
      <c r="D7" s="28">
        <f>1/(1+'Assumptions '!B16)^3</f>
        <v>0.79383224102016958</v>
      </c>
      <c r="E7" s="28">
        <f>1/(1+'Assumptions '!B16)^4</f>
        <v>0.73502985279645328</v>
      </c>
      <c r="F7" s="28">
        <f>1/(1+'Assumptions '!B16)^5</f>
        <v>0.68058319703375303</v>
      </c>
      <c r="G7" s="29"/>
    </row>
    <row r="8" spans="1:10" x14ac:dyDescent="0.35">
      <c r="A8" s="7" t="s">
        <v>54</v>
      </c>
      <c r="B8" s="36">
        <f>B6*B7</f>
        <v>3418.8697444444447</v>
      </c>
      <c r="C8" s="36">
        <f t="shared" ref="C8:F8" si="0">C6*C7</f>
        <v>3382.8096652777772</v>
      </c>
      <c r="D8" s="36">
        <f t="shared" si="0"/>
        <v>3252.0964536522633</v>
      </c>
      <c r="E8" s="36">
        <f t="shared" si="0"/>
        <v>3111.3442466225611</v>
      </c>
      <c r="F8" s="36">
        <f t="shared" si="0"/>
        <v>2962.2467207116774</v>
      </c>
      <c r="G8" s="29"/>
    </row>
    <row r="9" spans="1:10" x14ac:dyDescent="0.35">
      <c r="A9" s="7" t="s">
        <v>55</v>
      </c>
      <c r="B9" s="15" t="s">
        <v>24</v>
      </c>
      <c r="C9" s="15" t="s">
        <v>24</v>
      </c>
      <c r="D9" s="15" t="s">
        <v>24</v>
      </c>
      <c r="E9" s="15" t="s">
        <v>24</v>
      </c>
      <c r="F9" s="24">
        <f>G6/('Assumptions '!B16-'Assumptions '!B17)</f>
        <v>81115.001528711931</v>
      </c>
      <c r="G9" s="29"/>
    </row>
    <row r="10" spans="1:10" x14ac:dyDescent="0.35">
      <c r="A10" s="7" t="s">
        <v>56</v>
      </c>
      <c r="B10" s="15" t="s">
        <v>24</v>
      </c>
      <c r="C10" s="15" t="s">
        <v>24</v>
      </c>
      <c r="D10" s="15" t="s">
        <v>24</v>
      </c>
      <c r="E10" s="15" t="s">
        <v>24</v>
      </c>
      <c r="F10" s="36">
        <f>F9*F7</f>
        <v>55205.507067808532</v>
      </c>
      <c r="G10" s="29"/>
    </row>
    <row r="11" spans="1:10" x14ac:dyDescent="0.35">
      <c r="A11" s="7"/>
      <c r="B11" s="1"/>
      <c r="C11" s="1"/>
      <c r="D11" s="1"/>
      <c r="E11" s="1"/>
      <c r="F11" s="1"/>
    </row>
    <row r="12" spans="1:10" x14ac:dyDescent="0.35">
      <c r="A12" s="7"/>
      <c r="C12" s="1"/>
      <c r="D12" s="1"/>
      <c r="E12" s="1"/>
      <c r="F12" s="1"/>
    </row>
    <row r="13" spans="1:10" x14ac:dyDescent="0.35">
      <c r="A13" s="7" t="s">
        <v>57</v>
      </c>
      <c r="B13" s="36">
        <f>B8+C8+D8+E8+F8+F10</f>
        <v>71332.873898517253</v>
      </c>
      <c r="C13" s="1"/>
      <c r="D13" s="1"/>
      <c r="E13" s="1"/>
      <c r="F13" s="1"/>
    </row>
    <row r="14" spans="1:10" x14ac:dyDescent="0.35">
      <c r="A14" s="7" t="s">
        <v>60</v>
      </c>
      <c r="B14" s="24">
        <f>'Historical Financials '!G21+'Historical Financials '!G22-'Historical Financials '!G14</f>
        <v>12855</v>
      </c>
      <c r="C14" s="1"/>
      <c r="D14" s="1"/>
      <c r="E14" s="1"/>
      <c r="F14" s="1"/>
    </row>
    <row r="15" spans="1:10" x14ac:dyDescent="0.35">
      <c r="A15" s="7" t="s">
        <v>58</v>
      </c>
      <c r="B15" s="36">
        <f>B13-B14</f>
        <v>58477.873898517253</v>
      </c>
      <c r="C15" s="1"/>
      <c r="D15" s="1"/>
      <c r="E15" s="1"/>
      <c r="F15" s="1"/>
    </row>
    <row r="16" spans="1:10" x14ac:dyDescent="0.35">
      <c r="A16" s="7" t="s">
        <v>65</v>
      </c>
      <c r="B16" s="30">
        <v>1139.8</v>
      </c>
    </row>
    <row r="17" spans="1:2" x14ac:dyDescent="0.35">
      <c r="A17" s="7" t="s">
        <v>59</v>
      </c>
      <c r="B17" s="37">
        <f>B15/B16</f>
        <v>51.305381556867218</v>
      </c>
    </row>
  </sheetData>
  <mergeCells count="3">
    <mergeCell ref="A1:B1"/>
    <mergeCell ref="A2:B2"/>
    <mergeCell ref="A3:B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649BC-C5E5-4299-8EA0-C60C146E6363}">
  <dimension ref="A1:D9"/>
  <sheetViews>
    <sheetView workbookViewId="0">
      <selection activeCell="A3" sqref="A3:B3"/>
    </sheetView>
  </sheetViews>
  <sheetFormatPr defaultRowHeight="14.5" x14ac:dyDescent="0.35"/>
  <cols>
    <col min="1" max="1" width="21.26953125" customWidth="1"/>
    <col min="2" max="3" width="8.7265625" customWidth="1"/>
    <col min="9" max="9" width="24" customWidth="1"/>
    <col min="10" max="10" width="15.6328125" customWidth="1"/>
    <col min="11" max="11" width="12.81640625" customWidth="1"/>
    <col min="12" max="12" width="12.26953125" customWidth="1"/>
  </cols>
  <sheetData>
    <row r="1" spans="1:4" ht="18.5" x14ac:dyDescent="0.45">
      <c r="A1" s="39" t="s">
        <v>68</v>
      </c>
      <c r="B1" s="39"/>
    </row>
    <row r="2" spans="1:4" ht="16" x14ac:dyDescent="0.4">
      <c r="A2" s="40" t="s">
        <v>74</v>
      </c>
      <c r="B2" s="40"/>
    </row>
    <row r="3" spans="1:4" x14ac:dyDescent="0.35">
      <c r="A3" s="41" t="s">
        <v>75</v>
      </c>
      <c r="B3" s="41"/>
    </row>
    <row r="5" spans="1:4" x14ac:dyDescent="0.35">
      <c r="A5" s="11">
        <f>'DCF Valuation '!B17</f>
        <v>51.305381556867218</v>
      </c>
    </row>
    <row r="6" spans="1:4" x14ac:dyDescent="0.35">
      <c r="A6" t="s">
        <v>61</v>
      </c>
      <c r="B6" s="10">
        <v>0.02</v>
      </c>
      <c r="C6" s="10">
        <v>2.5000000000000001E-2</v>
      </c>
      <c r="D6" s="10">
        <v>0.03</v>
      </c>
    </row>
    <row r="7" spans="1:4" x14ac:dyDescent="0.35">
      <c r="A7" s="12">
        <v>7.4999999999999997E-2</v>
      </c>
      <c r="B7" s="9">
        <v>52.39</v>
      </c>
      <c r="C7" s="9">
        <v>57.59</v>
      </c>
      <c r="D7" s="9">
        <v>63.95</v>
      </c>
    </row>
    <row r="8" spans="1:4" x14ac:dyDescent="0.35">
      <c r="A8" s="12">
        <v>0.08</v>
      </c>
      <c r="B8" s="9">
        <v>47.05</v>
      </c>
      <c r="C8" s="9">
        <v>51.31</v>
      </c>
      <c r="D8" s="9">
        <v>56.41</v>
      </c>
    </row>
    <row r="9" spans="1:4" x14ac:dyDescent="0.35">
      <c r="A9" s="12">
        <v>8.5000000000000006E-2</v>
      </c>
      <c r="B9" s="9">
        <v>42.53</v>
      </c>
      <c r="C9" s="9">
        <v>46.07</v>
      </c>
      <c r="D9" s="9">
        <v>50.24</v>
      </c>
    </row>
  </sheetData>
  <mergeCells count="3">
    <mergeCell ref="A1:B1"/>
    <mergeCell ref="A2:B2"/>
    <mergeCell ref="A3:B3"/>
  </mergeCells>
  <conditionalFormatting sqref="B7:D9">
    <cfRule type="colorScale" priority="1">
      <colorScale>
        <cfvo type="min"/>
        <cfvo type="max"/>
        <color rgb="FFFF0000"/>
        <color rgb="FF00B05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Historical Financials </vt:lpstr>
      <vt:lpstr>Historical Ratios</vt:lpstr>
      <vt:lpstr>Assumptions </vt:lpstr>
      <vt:lpstr>Forecast</vt:lpstr>
      <vt:lpstr>DCF Valuation </vt:lpstr>
      <vt:lpstr>Sensitivity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Garcia</dc:creator>
  <cp:lastModifiedBy>Elizabeth Garcia</cp:lastModifiedBy>
  <dcterms:created xsi:type="dcterms:W3CDTF">2026-06-27T21:15:31Z</dcterms:created>
  <dcterms:modified xsi:type="dcterms:W3CDTF">2026-07-06T00:26:22Z</dcterms:modified>
</cp:coreProperties>
</file>